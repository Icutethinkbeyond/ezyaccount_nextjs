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E:\MYWORK\ezyaccount_nextjs\public\templates\"/>
    </mc:Choice>
  </mc:AlternateContent>
  <xr:revisionPtr revIDLastSave="0" documentId="13_ncr:1_{69AEC0A9-09C6-4ACB-B33A-CF756C239A3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QUOTE" sheetId="13" r:id="rId1"/>
  </sheets>
  <definedNames>
    <definedName name="valuevx">42.314159</definedName>
    <definedName name="vertex42_copyright" hidden="1">"© 2017 Vertex42 LLC"</definedName>
    <definedName name="vertex42_id" hidden="1">"quotation-template.xlsx"</definedName>
    <definedName name="vertex42_title" hidden="1">"Quotation Template"</definedName>
  </definedNames>
  <calcPr calcId="181029"/>
</workbook>
</file>

<file path=xl/calcChain.xml><?xml version="1.0" encoding="utf-8"?>
<calcChain xmlns="http://schemas.openxmlformats.org/spreadsheetml/2006/main">
  <c r="H32" i="13" l="1"/>
  <c r="H33" i="13"/>
  <c r="H16" i="13"/>
  <c r="H15" i="13"/>
  <c r="H34" i="13" l="1"/>
  <c r="H35" i="13" s="1"/>
  <c r="H36" i="13" s="1"/>
  <c r="H37" i="13" l="1"/>
  <c r="H38" i="13" s="1"/>
  <c r="A32" i="13" s="1"/>
</calcChain>
</file>

<file path=xl/sharedStrings.xml><?xml version="1.0" encoding="utf-8"?>
<sst xmlns="http://schemas.openxmlformats.org/spreadsheetml/2006/main" count="35" uniqueCount="30">
  <si>
    <t>[Company Name]</t>
  </si>
  <si>
    <t>[Name]</t>
  </si>
  <si>
    <t>Service Fee</t>
  </si>
  <si>
    <t>Labor: 5 hours at $75/hr</t>
  </si>
  <si>
    <t>ลูกค้า</t>
  </si>
  <si>
    <t>จำนวน</t>
  </si>
  <si>
    <t>ราคา</t>
  </si>
  <si>
    <t>ราคารวม</t>
  </si>
  <si>
    <t>รวมเป็นเงิน</t>
  </si>
  <si>
    <t>ส่วนลด</t>
  </si>
  <si>
    <t>ส่วนลดรวม</t>
  </si>
  <si>
    <t>ราคาหลังหักส่วนลด</t>
  </si>
  <si>
    <t>ภาษีมูลค่าเพิ่ม 7%</t>
  </si>
  <si>
    <t>จำนวนเงินรวมทั้งสิ้น</t>
  </si>
  <si>
    <t>หัก ณ ที่จ่าย 13%</t>
  </si>
  <si>
    <t>ยอดชำระรวม</t>
  </si>
  <si>
    <t>หมายเหตุ</t>
  </si>
  <si>
    <t>วันที่ออก</t>
  </si>
  <si>
    <t>ใช้ได้ถึง</t>
  </si>
  <si>
    <t>สินค้า / บริการ</t>
  </si>
  <si>
    <t>ใบเสนอราคา</t>
  </si>
  <si>
    <t>ผู้ออกเอกสาร</t>
  </si>
  <si>
    <t>วันที่</t>
  </si>
  <si>
    <t>ผู้สั่งซื้อสินค้า</t>
  </si>
  <si>
    <t xml:space="preserve">เลขอ้างอิง </t>
  </si>
  <si>
    <t>#3660</t>
  </si>
  <si>
    <t>เลขที่เสียภาษี</t>
  </si>
  <si>
    <t>โทร.</t>
  </si>
  <si>
    <t>อีเมล์</t>
  </si>
  <si>
    <t>ที่อยู่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</si>
</sst>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9" x14ac:knownFonts="1">
    <font>
      <sz val="11"/>
      <name val="Arial"/>
      <family val="2"/>
    </font>
    <font>
      <sz val="10"/>
      <name val="Verdana"/>
      <family val="2"/>
    </font>
    <font>
      <b/>
      <sz val="28"/>
      <color indexed="52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Tahoma"/>
      <family val="2"/>
    </font>
    <font>
      <sz val="10"/>
      <name val="Cordia New"/>
      <family val="2"/>
      <scheme val="minor"/>
    </font>
    <font>
      <sz val="9"/>
      <color theme="3"/>
      <name val="Arial"/>
      <family val="2"/>
    </font>
    <font>
      <sz val="16"/>
      <name val="Cordia New"/>
      <family val="2"/>
      <scheme val="major"/>
    </font>
    <font>
      <i/>
      <sz val="11"/>
      <name val="Cordia New"/>
      <family val="2"/>
      <scheme val="minor"/>
    </font>
    <font>
      <b/>
      <sz val="9"/>
      <name val="Cordia New"/>
      <family val="2"/>
      <scheme val="major"/>
    </font>
    <font>
      <sz val="11"/>
      <name val="Arial"/>
      <family val="2"/>
    </font>
    <font>
      <b/>
      <sz val="11"/>
      <name val="Cordia New"/>
      <family val="2"/>
      <scheme val="minor"/>
    </font>
    <font>
      <b/>
      <sz val="9"/>
      <color theme="3"/>
      <name val="Arial"/>
      <family val="2"/>
    </font>
    <font>
      <u/>
      <sz val="10"/>
      <color indexed="12"/>
      <name val="Cordia New"/>
      <family val="2"/>
      <scheme val="minor"/>
    </font>
    <font>
      <i/>
      <sz val="11"/>
      <name val="Arial"/>
      <family val="2"/>
    </font>
    <font>
      <sz val="10"/>
      <color theme="0" tint="-0.499984740745262"/>
      <name val="Cordia New"/>
      <family val="2"/>
      <scheme val="minor"/>
    </font>
    <font>
      <b/>
      <sz val="10"/>
      <name val="Cordia New"/>
      <family val="2"/>
      <scheme val="major"/>
    </font>
    <font>
      <b/>
      <sz val="9"/>
      <color theme="0"/>
      <name val="Cordia New"/>
      <family val="2"/>
      <scheme val="major"/>
    </font>
    <font>
      <b/>
      <sz val="14"/>
      <color theme="0"/>
      <name val="Cordia New"/>
      <family val="2"/>
      <scheme val="minor"/>
    </font>
    <font>
      <sz val="10"/>
      <name val="Cordia New"/>
      <family val="2"/>
      <scheme val="major"/>
    </font>
    <font>
      <sz val="11"/>
      <name val="Cordia New"/>
      <family val="2"/>
      <scheme val="minor"/>
    </font>
    <font>
      <b/>
      <sz val="28"/>
      <color rgb="FF1C4792"/>
      <name val="Cordia New"/>
      <family val="2"/>
      <scheme val="major"/>
    </font>
  </fonts>
  <fills count="2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8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7" borderId="1" applyNumberFormat="0" applyAlignment="0" applyProtection="0"/>
    <xf numFmtId="0" fontId="7" fillId="18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3" fillId="11" borderId="1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16" fillId="5" borderId="7" applyNumberFormat="0" applyFont="0" applyAlignment="0" applyProtection="0"/>
    <xf numFmtId="0" fontId="17" fillId="1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44" fontId="27" fillId="0" borderId="0" applyFont="0" applyFill="0" applyBorder="0" applyAlignment="0" applyProtection="0"/>
  </cellStyleXfs>
  <cellXfs count="70">
    <xf numFmtId="0" fontId="0" fillId="0" borderId="0" xfId="0"/>
    <xf numFmtId="0" fontId="21" fillId="0" borderId="0" xfId="28" applyNumberFormat="1" applyFont="1" applyFill="1" applyAlignment="1">
      <alignment horizontal="left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/>
    <xf numFmtId="0" fontId="30" fillId="0" borderId="0" xfId="35" applyNumberFormat="1" applyFill="1" applyAlignment="1" applyProtection="1">
      <alignment horizontal="left"/>
    </xf>
    <xf numFmtId="0" fontId="29" fillId="0" borderId="0" xfId="0" applyFont="1" applyAlignment="1">
      <alignment vertical="center"/>
    </xf>
    <xf numFmtId="0" fontId="31" fillId="0" borderId="0" xfId="0" applyFont="1" applyAlignment="1">
      <alignment horizontal="right" vertical="center"/>
    </xf>
    <xf numFmtId="0" fontId="22" fillId="0" borderId="0" xfId="0" applyFont="1" applyAlignment="1">
      <alignment horizontal="left"/>
    </xf>
    <xf numFmtId="0" fontId="0" fillId="0" borderId="0" xfId="0" applyAlignment="1">
      <alignment vertical="center" shrinkToFit="1"/>
    </xf>
    <xf numFmtId="0" fontId="28" fillId="0" borderId="0" xfId="0" applyFont="1" applyAlignment="1">
      <alignment horizontal="right" vertical="center"/>
    </xf>
    <xf numFmtId="0" fontId="28" fillId="0" borderId="12" xfId="0" applyFont="1" applyBorder="1" applyAlignment="1">
      <alignment horizontal="right" vertical="center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vertical="center"/>
      <protection locked="0"/>
    </xf>
    <xf numFmtId="0" fontId="22" fillId="0" borderId="18" xfId="0" applyFont="1" applyBorder="1" applyAlignment="1" applyProtection="1">
      <alignment vertical="center"/>
      <protection locked="0"/>
    </xf>
    <xf numFmtId="44" fontId="22" fillId="0" borderId="16" xfId="0" applyNumberFormat="1" applyFont="1" applyBorder="1" applyAlignment="1" applyProtection="1">
      <alignment horizontal="center" vertical="center"/>
      <protection locked="0"/>
    </xf>
    <xf numFmtId="44" fontId="22" fillId="0" borderId="10" xfId="0" applyNumberFormat="1" applyFont="1" applyBorder="1" applyAlignment="1" applyProtection="1">
      <alignment horizontal="center" vertical="center"/>
      <protection locked="0"/>
    </xf>
    <xf numFmtId="44" fontId="22" fillId="0" borderId="11" xfId="0" applyNumberFormat="1" applyFont="1" applyBorder="1" applyAlignment="1" applyProtection="1">
      <alignment horizontal="center" vertical="center"/>
      <protection locked="0"/>
    </xf>
    <xf numFmtId="43" fontId="22" fillId="0" borderId="10" xfId="0" applyNumberFormat="1" applyFont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43" fontId="22" fillId="0" borderId="16" xfId="0" applyNumberFormat="1" applyFont="1" applyBorder="1" applyAlignment="1" applyProtection="1">
      <alignment vertical="center"/>
      <protection locked="0"/>
    </xf>
    <xf numFmtId="43" fontId="22" fillId="0" borderId="10" xfId="0" applyNumberFormat="1" applyFont="1" applyBorder="1" applyAlignment="1" applyProtection="1">
      <alignment vertical="center"/>
      <protection locked="0"/>
    </xf>
    <xf numFmtId="43" fontId="22" fillId="0" borderId="11" xfId="0" applyNumberFormat="1" applyFont="1" applyBorder="1" applyAlignment="1" applyProtection="1">
      <alignment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>
      <alignment vertical="center"/>
    </xf>
    <xf numFmtId="0" fontId="32" fillId="0" borderId="0" xfId="0" applyFont="1"/>
    <xf numFmtId="0" fontId="34" fillId="20" borderId="19" xfId="0" applyFont="1" applyFill="1" applyBorder="1" applyAlignment="1">
      <alignment horizontal="left" vertical="center" indent="1"/>
    </xf>
    <xf numFmtId="0" fontId="34" fillId="20" borderId="21" xfId="0" applyFont="1" applyFill="1" applyBorder="1" applyAlignment="1">
      <alignment horizontal="left" vertical="center" indent="1"/>
    </xf>
    <xf numFmtId="0" fontId="34" fillId="20" borderId="21" xfId="0" applyFont="1" applyFill="1" applyBorder="1" applyAlignment="1">
      <alignment horizontal="center" vertical="center"/>
    </xf>
    <xf numFmtId="0" fontId="34" fillId="20" borderId="13" xfId="0" applyFont="1" applyFill="1" applyBorder="1" applyAlignment="1">
      <alignment horizontal="center" vertical="center"/>
    </xf>
    <xf numFmtId="0" fontId="35" fillId="20" borderId="0" xfId="0" applyFont="1" applyFill="1" applyAlignment="1">
      <alignment horizontal="right" vertical="center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17" xfId="0" applyFont="1" applyBorder="1" applyAlignment="1" applyProtection="1">
      <alignment horizontal="left" vertical="center"/>
      <protection locked="0"/>
    </xf>
    <xf numFmtId="0" fontId="22" fillId="0" borderId="25" xfId="0" applyFont="1" applyBorder="1" applyAlignment="1" applyProtection="1">
      <alignment horizontal="left" vertical="center"/>
      <protection locked="0"/>
    </xf>
    <xf numFmtId="0" fontId="22" fillId="0" borderId="18" xfId="0" applyFont="1" applyBorder="1" applyAlignment="1" applyProtection="1">
      <alignment horizontal="left" vertical="center"/>
      <protection locked="0"/>
    </xf>
    <xf numFmtId="0" fontId="22" fillId="0" borderId="12" xfId="0" applyFont="1" applyBorder="1" applyAlignment="1" applyProtection="1">
      <alignment horizontal="left" vertical="center"/>
      <protection locked="0"/>
    </xf>
    <xf numFmtId="0" fontId="22" fillId="0" borderId="26" xfId="0" applyFont="1" applyBorder="1" applyAlignment="1" applyProtection="1">
      <alignment horizontal="left" vertical="center"/>
      <protection locked="0"/>
    </xf>
    <xf numFmtId="0" fontId="22" fillId="0" borderId="15" xfId="0" applyFont="1" applyBorder="1" applyAlignment="1" applyProtection="1">
      <alignment horizontal="left" vertical="center"/>
      <protection locked="0"/>
    </xf>
    <xf numFmtId="0" fontId="22" fillId="0" borderId="24" xfId="0" applyFont="1" applyBorder="1" applyAlignment="1" applyProtection="1">
      <alignment horizontal="left" vertical="center"/>
      <protection locked="0"/>
    </xf>
    <xf numFmtId="0" fontId="22" fillId="0" borderId="0" xfId="0" applyFont="1" applyAlignment="1">
      <alignment horizontal="left" vertical="center"/>
    </xf>
    <xf numFmtId="43" fontId="28" fillId="0" borderId="12" xfId="0" applyNumberFormat="1" applyFont="1" applyBorder="1" applyAlignment="1">
      <alignment horizontal="center" vertical="center"/>
    </xf>
    <xf numFmtId="43" fontId="28" fillId="0" borderId="0" xfId="0" applyNumberFormat="1" applyFont="1" applyAlignment="1">
      <alignment horizontal="center" vertical="center"/>
    </xf>
    <xf numFmtId="2" fontId="35" fillId="20" borderId="0" xfId="44" applyNumberFormat="1" applyFont="1" applyFill="1" applyBorder="1" applyAlignment="1">
      <alignment horizontal="right" vertical="center"/>
    </xf>
    <xf numFmtId="43" fontId="22" fillId="0" borderId="18" xfId="0" applyNumberFormat="1" applyFont="1" applyBorder="1" applyAlignment="1">
      <alignment horizontal="right" vertical="center"/>
    </xf>
    <xf numFmtId="43" fontId="22" fillId="0" borderId="26" xfId="0" applyNumberFormat="1" applyFont="1" applyBorder="1" applyAlignment="1">
      <alignment horizontal="right" vertical="center"/>
    </xf>
    <xf numFmtId="0" fontId="34" fillId="20" borderId="19" xfId="0" applyFont="1" applyFill="1" applyBorder="1" applyAlignment="1">
      <alignment horizontal="center" vertical="center"/>
    </xf>
    <xf numFmtId="0" fontId="34" fillId="20" borderId="20" xfId="0" applyFont="1" applyFill="1" applyBorder="1" applyAlignment="1">
      <alignment horizontal="center" vertical="center"/>
    </xf>
    <xf numFmtId="43" fontId="22" fillId="0" borderId="14" xfId="0" applyNumberFormat="1" applyFont="1" applyBorder="1" applyAlignment="1">
      <alignment horizontal="right" vertical="center"/>
    </xf>
    <xf numFmtId="43" fontId="22" fillId="0" borderId="24" xfId="0" applyNumberFormat="1" applyFont="1" applyBorder="1" applyAlignment="1">
      <alignment horizontal="right" vertical="center"/>
    </xf>
    <xf numFmtId="43" fontId="22" fillId="0" borderId="17" xfId="0" applyNumberFormat="1" applyFont="1" applyBorder="1" applyAlignment="1">
      <alignment horizontal="right" vertical="center"/>
    </xf>
    <xf numFmtId="43" fontId="22" fillId="0" borderId="25" xfId="0" applyNumberFormat="1" applyFont="1" applyBorder="1" applyAlignment="1">
      <alignment horizontal="right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36" fillId="0" borderId="0" xfId="0" applyFont="1" applyAlignment="1" applyProtection="1">
      <alignment vertical="center"/>
      <protection locked="0"/>
    </xf>
    <xf numFmtId="0" fontId="0" fillId="0" borderId="0" xfId="0" applyAlignment="1"/>
    <xf numFmtId="0" fontId="22" fillId="0" borderId="0" xfId="0" applyFont="1" applyAlignment="1">
      <alignment vertical="top" wrapTex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3" fillId="0" borderId="0" xfId="0" applyFont="1" applyAlignment="1" applyProtection="1">
      <alignment horizontal="left" vertical="center"/>
      <protection locked="0"/>
    </xf>
    <xf numFmtId="0" fontId="28" fillId="0" borderId="0" xfId="0" applyFont="1" applyBorder="1" applyAlignment="1" applyProtection="1">
      <alignment vertical="center"/>
      <protection locked="0"/>
    </xf>
    <xf numFmtId="0" fontId="38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44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1C4792"/>
      <color rgb="FFC6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41</xdr:row>
      <xdr:rowOff>0</xdr:rowOff>
    </xdr:from>
    <xdr:to>
      <xdr:col>2</xdr:col>
      <xdr:colOff>342900</xdr:colOff>
      <xdr:row>41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AB368A8-5AA2-95A0-E0E2-05CFFF06A635}"/>
            </a:ext>
          </a:extLst>
        </xdr:cNvPr>
        <xdr:cNvCxnSpPr/>
      </xdr:nvCxnSpPr>
      <xdr:spPr>
        <a:xfrm>
          <a:off x="695325" y="8953500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41</xdr:row>
      <xdr:rowOff>0</xdr:rowOff>
    </xdr:from>
    <xdr:to>
      <xdr:col>3</xdr:col>
      <xdr:colOff>1266825</xdr:colOff>
      <xdr:row>41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49C1631-EAF4-4775-9DFD-C880A72187C0}"/>
            </a:ext>
          </a:extLst>
        </xdr:cNvPr>
        <xdr:cNvCxnSpPr/>
      </xdr:nvCxnSpPr>
      <xdr:spPr>
        <a:xfrm>
          <a:off x="2066925" y="8953500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41</xdr:row>
      <xdr:rowOff>0</xdr:rowOff>
    </xdr:from>
    <xdr:to>
      <xdr:col>6</xdr:col>
      <xdr:colOff>533400</xdr:colOff>
      <xdr:row>41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83356CE-AEF4-4EB0-A44E-F36A846944A6}"/>
            </a:ext>
          </a:extLst>
        </xdr:cNvPr>
        <xdr:cNvCxnSpPr/>
      </xdr:nvCxnSpPr>
      <xdr:spPr>
        <a:xfrm>
          <a:off x="3752850" y="8953500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41</xdr:row>
      <xdr:rowOff>0</xdr:rowOff>
    </xdr:from>
    <xdr:to>
      <xdr:col>8</xdr:col>
      <xdr:colOff>571500</xdr:colOff>
      <xdr:row>41</xdr:row>
      <xdr:rowOff>9525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9B1F304-A338-4067-B102-3E71071E9BBA}"/>
            </a:ext>
          </a:extLst>
        </xdr:cNvPr>
        <xdr:cNvCxnSpPr/>
      </xdr:nvCxnSpPr>
      <xdr:spPr>
        <a:xfrm>
          <a:off x="5448300" y="8953500"/>
          <a:ext cx="111442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638174</xdr:colOff>
      <xdr:row>0</xdr:row>
      <xdr:rowOff>180975</xdr:rowOff>
    </xdr:from>
    <xdr:to>
      <xdr:col>8</xdr:col>
      <xdr:colOff>488409</xdr:colOff>
      <xdr:row>2</xdr:row>
      <xdr:rowOff>50844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0C3D30-8A23-B200-0F2B-92A43FD0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80975"/>
          <a:ext cx="1507585" cy="593769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8</xdr:col>
      <xdr:colOff>647700</xdr:colOff>
      <xdr:row>10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D54280-A33E-DE92-4FCA-6326DACE7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0"/>
          <a:ext cx="2828925" cy="2562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ertex42 - Gray - Dar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2929"/>
      </a:accent1>
      <a:accent2>
        <a:srgbClr val="C0504D"/>
      </a:accent2>
      <a:accent3>
        <a:srgbClr val="9BBB59"/>
      </a:accent3>
      <a:accent4>
        <a:srgbClr val="8064A2"/>
      </a:accent4>
      <a:accent5>
        <a:srgbClr val="4F81BD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5"/>
  <sheetViews>
    <sheetView showGridLines="0" tabSelected="1" showRuler="0" view="pageBreakPreview" topLeftCell="A22" zoomScaleNormal="100" zoomScaleSheetLayoutView="100" zoomScalePageLayoutView="70" workbookViewId="0">
      <selection activeCell="A36" sqref="A36:E36"/>
    </sheetView>
  </sheetViews>
  <sheetFormatPr defaultRowHeight="14.25" x14ac:dyDescent="0.2"/>
  <cols>
    <col min="1" max="1" width="6.625" customWidth="1"/>
    <col min="2" max="2" width="12.625" customWidth="1"/>
    <col min="3" max="3" width="5.875" customWidth="1"/>
    <col min="4" max="4" width="18.5" customWidth="1"/>
    <col min="5" max="6" width="6.625" customWidth="1"/>
    <col min="7" max="7" width="12.625" customWidth="1"/>
    <col min="8" max="8" width="9.125" customWidth="1"/>
    <col min="9" max="9" width="8.75" customWidth="1"/>
    <col min="10" max="10" width="22.375" customWidth="1"/>
  </cols>
  <sheetData>
    <row r="1" spans="1:10" ht="39.75" x14ac:dyDescent="0.2">
      <c r="A1" s="67" t="s">
        <v>20</v>
      </c>
      <c r="B1" s="67"/>
      <c r="C1" s="67"/>
      <c r="D1" s="67"/>
      <c r="G1" s="6"/>
    </row>
    <row r="2" spans="1:10" ht="17.25" x14ac:dyDescent="0.2">
      <c r="A2" s="29" t="s">
        <v>17</v>
      </c>
      <c r="B2" s="62"/>
      <c r="C2" s="57" t="s">
        <v>18</v>
      </c>
      <c r="D2" s="62"/>
      <c r="J2" s="1"/>
    </row>
    <row r="3" spans="1:10" ht="24" x14ac:dyDescent="0.35">
      <c r="A3" s="65" t="s">
        <v>0</v>
      </c>
      <c r="B3" s="65"/>
      <c r="C3" s="58"/>
      <c r="D3" s="59" t="s">
        <v>27</v>
      </c>
      <c r="E3" s="58"/>
      <c r="F3" s="2"/>
      <c r="G3" s="2"/>
      <c r="H3" s="8"/>
      <c r="J3" s="9"/>
    </row>
    <row r="4" spans="1:10" ht="15" x14ac:dyDescent="0.2">
      <c r="A4" s="7" t="s">
        <v>29</v>
      </c>
      <c r="B4" s="7"/>
      <c r="C4" s="7"/>
      <c r="D4" s="7"/>
      <c r="E4" s="7"/>
      <c r="F4" s="3"/>
      <c r="G4" s="3"/>
      <c r="J4" s="1"/>
    </row>
    <row r="5" spans="1:10" ht="15" x14ac:dyDescent="0.2">
      <c r="A5" s="7" t="s">
        <v>26</v>
      </c>
      <c r="B5" s="37"/>
      <c r="C5" s="37"/>
      <c r="D5" s="37"/>
      <c r="E5" s="7"/>
      <c r="F5" s="3"/>
      <c r="G5" s="25"/>
      <c r="H5" s="25" t="s">
        <v>24</v>
      </c>
      <c r="I5" s="29" t="s">
        <v>25</v>
      </c>
      <c r="J5" s="5"/>
    </row>
    <row r="6" spans="1:10" ht="17.25" x14ac:dyDescent="0.2">
      <c r="A6" s="62" t="s">
        <v>28</v>
      </c>
      <c r="B6" s="45"/>
      <c r="C6" s="45"/>
      <c r="D6" s="2"/>
      <c r="E6" s="7"/>
      <c r="F6" s="3"/>
      <c r="G6" s="3"/>
      <c r="J6" s="5"/>
    </row>
    <row r="7" spans="1:10" ht="15" x14ac:dyDescent="0.2">
      <c r="A7" s="3"/>
      <c r="B7" s="7"/>
      <c r="C7" s="7"/>
      <c r="D7" s="7"/>
      <c r="E7" s="7"/>
      <c r="F7" s="3"/>
      <c r="G7" s="3"/>
      <c r="J7" s="1"/>
    </row>
    <row r="8" spans="1:10" ht="18" customHeight="1" x14ac:dyDescent="0.2">
      <c r="A8" s="24" t="s">
        <v>4</v>
      </c>
      <c r="B8" s="29" t="s">
        <v>1</v>
      </c>
      <c r="C8" s="29"/>
      <c r="D8" s="7" t="s">
        <v>27</v>
      </c>
      <c r="E8" s="7"/>
      <c r="F8" s="3"/>
      <c r="G8" s="3"/>
      <c r="J8" s="1"/>
    </row>
    <row r="9" spans="1:10" ht="20.100000000000001" customHeight="1" x14ac:dyDescent="0.2">
      <c r="A9" s="7" t="s">
        <v>29</v>
      </c>
      <c r="B9" s="29"/>
      <c r="C9" s="29"/>
      <c r="D9" s="29"/>
      <c r="E9" s="3"/>
      <c r="F9" s="3"/>
      <c r="G9" s="3"/>
      <c r="J9" s="4"/>
    </row>
    <row r="10" spans="1:10" ht="14.25" customHeight="1" x14ac:dyDescent="0.2">
      <c r="A10" s="7" t="s">
        <v>26</v>
      </c>
      <c r="B10" s="64"/>
      <c r="C10" s="64"/>
      <c r="D10" s="64"/>
      <c r="E10" s="3"/>
      <c r="F10" s="3"/>
      <c r="G10" s="11"/>
      <c r="H10" s="13"/>
      <c r="J10" s="4"/>
    </row>
    <row r="11" spans="1:10" ht="17.25" x14ac:dyDescent="0.2">
      <c r="A11" s="62" t="s">
        <v>28</v>
      </c>
      <c r="B11" s="7"/>
      <c r="C11" s="7"/>
      <c r="D11" s="7"/>
      <c r="E11" s="3"/>
      <c r="F11" s="3"/>
      <c r="G11" s="11"/>
      <c r="H11" s="13"/>
      <c r="J11" s="4"/>
    </row>
    <row r="12" spans="1:10" x14ac:dyDescent="0.2">
      <c r="E12" s="3"/>
      <c r="F12" s="3"/>
      <c r="G12" s="3"/>
    </row>
    <row r="13" spans="1:10" ht="15" x14ac:dyDescent="0.2">
      <c r="B13" s="7"/>
      <c r="C13" s="7"/>
      <c r="D13" s="7"/>
    </row>
    <row r="14" spans="1:10" x14ac:dyDescent="0.2">
      <c r="A14" s="32" t="s">
        <v>19</v>
      </c>
      <c r="B14" s="33"/>
      <c r="C14" s="33"/>
      <c r="D14" s="34"/>
      <c r="E14" s="35" t="s">
        <v>5</v>
      </c>
      <c r="F14" s="35" t="s">
        <v>9</v>
      </c>
      <c r="G14" s="35" t="s">
        <v>6</v>
      </c>
      <c r="H14" s="51" t="s">
        <v>7</v>
      </c>
      <c r="I14" s="52"/>
    </row>
    <row r="15" spans="1:10" ht="15" x14ac:dyDescent="0.2">
      <c r="A15" s="38" t="s">
        <v>2</v>
      </c>
      <c r="B15" s="43"/>
      <c r="C15" s="43"/>
      <c r="D15" s="44"/>
      <c r="E15" s="16">
        <v>1</v>
      </c>
      <c r="F15" s="20"/>
      <c r="G15" s="26">
        <v>200</v>
      </c>
      <c r="H15" s="53">
        <f>IF(E15="",ROUND(1*G15,2),ROUND(E15*G15,2))</f>
        <v>200</v>
      </c>
      <c r="I15" s="54"/>
    </row>
    <row r="16" spans="1:10" ht="20.100000000000001" customHeight="1" x14ac:dyDescent="0.2">
      <c r="A16" s="38" t="s">
        <v>3</v>
      </c>
      <c r="B16" s="37"/>
      <c r="C16" s="37"/>
      <c r="D16" s="39"/>
      <c r="E16" s="17">
        <v>5</v>
      </c>
      <c r="F16" s="21"/>
      <c r="G16" s="27">
        <v>75</v>
      </c>
      <c r="H16" s="55">
        <f>IF(E16="",ROUND(1*G16,2),ROUND(E16*G16,2))</f>
        <v>375</v>
      </c>
      <c r="I16" s="56"/>
      <c r="J16" s="10"/>
    </row>
    <row r="17" spans="1:10" ht="14.25" customHeight="1" x14ac:dyDescent="0.2">
      <c r="A17" s="38"/>
      <c r="B17" s="37"/>
      <c r="C17" s="37"/>
      <c r="D17" s="39"/>
      <c r="E17" s="17"/>
      <c r="F17" s="23"/>
      <c r="G17" s="27"/>
      <c r="H17" s="55"/>
      <c r="I17" s="56"/>
      <c r="J17" s="5"/>
    </row>
    <row r="18" spans="1:10" ht="14.25" customHeight="1" x14ac:dyDescent="0.2">
      <c r="A18" s="38"/>
      <c r="B18" s="37"/>
      <c r="C18" s="37"/>
      <c r="D18" s="39"/>
      <c r="E18" s="18"/>
      <c r="F18" s="21"/>
      <c r="G18" s="27"/>
      <c r="H18" s="55"/>
      <c r="I18" s="56"/>
      <c r="J18" s="5"/>
    </row>
    <row r="19" spans="1:10" ht="14.25" customHeight="1" x14ac:dyDescent="0.2">
      <c r="A19" s="38"/>
      <c r="B19" s="37"/>
      <c r="C19" s="37"/>
      <c r="D19" s="39"/>
      <c r="E19" s="18"/>
      <c r="F19" s="21"/>
      <c r="G19" s="27"/>
      <c r="H19" s="55"/>
      <c r="I19" s="56"/>
      <c r="J19" s="4"/>
    </row>
    <row r="20" spans="1:10" ht="14.25" customHeight="1" x14ac:dyDescent="0.2">
      <c r="A20" s="38"/>
      <c r="B20" s="37"/>
      <c r="C20" s="37"/>
      <c r="D20" s="39"/>
      <c r="E20" s="18"/>
      <c r="F20" s="21"/>
      <c r="G20" s="27"/>
      <c r="H20" s="55"/>
      <c r="I20" s="56"/>
      <c r="J20" s="4"/>
    </row>
    <row r="21" spans="1:10" ht="14.25" customHeight="1" x14ac:dyDescent="0.2">
      <c r="A21" s="38"/>
      <c r="B21" s="37"/>
      <c r="C21" s="37"/>
      <c r="D21" s="39"/>
      <c r="E21" s="18"/>
      <c r="F21" s="21"/>
      <c r="G21" s="27"/>
      <c r="H21" s="55"/>
      <c r="I21" s="56"/>
      <c r="J21" s="5"/>
    </row>
    <row r="22" spans="1:10" ht="15" x14ac:dyDescent="0.2">
      <c r="A22" s="38"/>
      <c r="B22" s="37"/>
      <c r="C22" s="37"/>
      <c r="D22" s="39"/>
      <c r="E22" s="18"/>
      <c r="F22" s="21"/>
      <c r="G22" s="27"/>
      <c r="H22" s="55"/>
      <c r="I22" s="56"/>
      <c r="J22" s="4"/>
    </row>
    <row r="23" spans="1:10" ht="20.100000000000001" customHeight="1" x14ac:dyDescent="0.2">
      <c r="A23" s="38"/>
      <c r="B23" s="37"/>
      <c r="C23" s="37"/>
      <c r="D23" s="39"/>
      <c r="E23" s="18"/>
      <c r="F23" s="21"/>
      <c r="G23" s="27"/>
      <c r="H23" s="55"/>
      <c r="I23" s="56"/>
      <c r="J23" s="4"/>
    </row>
    <row r="24" spans="1:10" ht="15" x14ac:dyDescent="0.2">
      <c r="A24" s="38"/>
      <c r="B24" s="37"/>
      <c r="C24" s="37"/>
      <c r="D24" s="39"/>
      <c r="E24" s="18"/>
      <c r="F24" s="21"/>
      <c r="G24" s="27"/>
      <c r="H24" s="55"/>
      <c r="I24" s="56"/>
      <c r="J24" s="5"/>
    </row>
    <row r="25" spans="1:10" ht="15" x14ac:dyDescent="0.2">
      <c r="A25" s="38"/>
      <c r="B25" s="37"/>
      <c r="C25" s="37"/>
      <c r="D25" s="39"/>
      <c r="E25" s="18"/>
      <c r="F25" s="21"/>
      <c r="G25" s="27"/>
      <c r="H25" s="55"/>
      <c r="I25" s="56"/>
      <c r="J25" s="5"/>
    </row>
    <row r="26" spans="1:10" ht="15" x14ac:dyDescent="0.2">
      <c r="A26" s="38"/>
      <c r="B26" s="37"/>
      <c r="C26" s="37"/>
      <c r="D26" s="39"/>
      <c r="E26" s="18"/>
      <c r="F26" s="21"/>
      <c r="G26" s="27"/>
      <c r="H26" s="55"/>
      <c r="I26" s="56"/>
      <c r="J26" s="5"/>
    </row>
    <row r="27" spans="1:10" ht="15" x14ac:dyDescent="0.2">
      <c r="A27" s="38"/>
      <c r="B27" s="37"/>
      <c r="C27" s="37"/>
      <c r="D27" s="39"/>
      <c r="E27" s="18"/>
      <c r="F27" s="21"/>
      <c r="G27" s="27"/>
      <c r="H27" s="55"/>
      <c r="I27" s="56"/>
      <c r="J27" s="4"/>
    </row>
    <row r="28" spans="1:10" ht="15" x14ac:dyDescent="0.2">
      <c r="A28" s="38"/>
      <c r="B28" s="37"/>
      <c r="C28" s="37"/>
      <c r="D28" s="39"/>
      <c r="E28" s="18"/>
      <c r="F28" s="21"/>
      <c r="G28" s="27"/>
      <c r="H28" s="55"/>
      <c r="I28" s="56"/>
      <c r="J28" s="5"/>
    </row>
    <row r="29" spans="1:10" ht="15" x14ac:dyDescent="0.2">
      <c r="A29" s="38"/>
      <c r="B29" s="37"/>
      <c r="C29" s="37"/>
      <c r="D29" s="39"/>
      <c r="E29" s="18"/>
      <c r="F29" s="21"/>
      <c r="G29" s="27"/>
      <c r="H29" s="55"/>
      <c r="I29" s="56"/>
      <c r="J29" s="4"/>
    </row>
    <row r="30" spans="1:10" ht="15" x14ac:dyDescent="0.2">
      <c r="A30" s="40"/>
      <c r="B30" s="41"/>
      <c r="C30" s="41"/>
      <c r="D30" s="42"/>
      <c r="E30" s="19"/>
      <c r="F30" s="22"/>
      <c r="G30" s="28"/>
      <c r="H30" s="49"/>
      <c r="I30" s="50"/>
      <c r="J30" s="4"/>
    </row>
    <row r="31" spans="1:10" x14ac:dyDescent="0.2">
      <c r="J31" s="4"/>
    </row>
    <row r="32" spans="1:10" ht="16.5" x14ac:dyDescent="0.2">
      <c r="A32" s="37" t="str">
        <f>"("&amp;BAHTTEXT(H38)&amp;")"</f>
        <v>(ห้าร้อยสามสิบห้าบาทยี่สิบเจ็ดสตางค์)</v>
      </c>
      <c r="B32" s="37"/>
      <c r="C32" s="37"/>
      <c r="D32" s="37"/>
      <c r="E32" s="37"/>
      <c r="F32" s="14"/>
      <c r="G32" s="14" t="s">
        <v>8</v>
      </c>
      <c r="H32" s="47">
        <f>SUM(H15:H30)</f>
        <v>575</v>
      </c>
      <c r="I32" s="47"/>
      <c r="J32" s="4"/>
    </row>
    <row r="33" spans="1:13" ht="16.5" x14ac:dyDescent="0.2">
      <c r="F33" s="14"/>
      <c r="G33" s="14" t="s">
        <v>10</v>
      </c>
      <c r="H33" s="47">
        <f>SUM(F15:F30)</f>
        <v>0</v>
      </c>
      <c r="I33" s="47"/>
      <c r="J33" s="4"/>
    </row>
    <row r="34" spans="1:13" ht="16.5" x14ac:dyDescent="0.2">
      <c r="G34" s="14" t="s">
        <v>11</v>
      </c>
      <c r="H34" s="47">
        <f>H32-H33</f>
        <v>575</v>
      </c>
      <c r="I34" s="47"/>
      <c r="J34" s="4"/>
    </row>
    <row r="35" spans="1:13" s="3" customFormat="1" ht="27.95" customHeight="1" x14ac:dyDescent="0.2">
      <c r="A35" s="66" t="s">
        <v>16</v>
      </c>
      <c r="B35" s="62"/>
      <c r="C35" s="62"/>
      <c r="D35" s="62"/>
      <c r="E35" s="62"/>
      <c r="F35"/>
      <c r="G35" s="14" t="s">
        <v>12</v>
      </c>
      <c r="H35" s="47">
        <f>H34*0.07</f>
        <v>40.250000000000007</v>
      </c>
      <c r="I35" s="47"/>
      <c r="J35" s="5"/>
      <c r="M35"/>
    </row>
    <row r="36" spans="1:13" ht="24" customHeight="1" x14ac:dyDescent="0.4">
      <c r="A36" s="63"/>
      <c r="B36" s="63"/>
      <c r="C36" s="63"/>
      <c r="D36" s="63"/>
      <c r="E36" s="63"/>
      <c r="G36" s="15" t="s">
        <v>13</v>
      </c>
      <c r="H36" s="46">
        <f>H34+H35</f>
        <v>615.25</v>
      </c>
      <c r="I36" s="46"/>
      <c r="J36" s="5"/>
    </row>
    <row r="37" spans="1:13" ht="24" customHeight="1" x14ac:dyDescent="0.2">
      <c r="A37" s="60"/>
      <c r="B37" s="60"/>
      <c r="C37" s="60"/>
      <c r="D37" s="60"/>
      <c r="E37" s="60"/>
      <c r="G37" s="14" t="s">
        <v>14</v>
      </c>
      <c r="H37" s="47">
        <f>H36*0.13</f>
        <v>79.982500000000002</v>
      </c>
      <c r="I37" s="47"/>
    </row>
    <row r="38" spans="1:13" ht="21" x14ac:dyDescent="0.35">
      <c r="A38" s="60"/>
      <c r="B38" s="60"/>
      <c r="C38" s="60"/>
      <c r="D38" s="60"/>
      <c r="E38" s="60"/>
      <c r="F38" s="8"/>
      <c r="G38" s="36" t="s">
        <v>15</v>
      </c>
      <c r="H38" s="48">
        <f>H36-H37</f>
        <v>535.26750000000004</v>
      </c>
      <c r="I38" s="48"/>
    </row>
    <row r="39" spans="1:13" ht="14.25" customHeight="1" x14ac:dyDescent="0.2">
      <c r="A39" s="61"/>
      <c r="B39" s="61"/>
      <c r="C39" s="61"/>
      <c r="D39" s="61"/>
      <c r="E39" s="61"/>
      <c r="F39" s="61"/>
      <c r="G39" s="61"/>
      <c r="H39" s="61"/>
      <c r="I39" s="61"/>
      <c r="J39" s="5"/>
    </row>
    <row r="40" spans="1:13" ht="14.25" customHeight="1" x14ac:dyDescent="0.2">
      <c r="A40" s="61"/>
      <c r="B40" s="61"/>
      <c r="C40" s="61"/>
      <c r="D40" s="61"/>
      <c r="E40" s="61"/>
      <c r="F40" s="61"/>
      <c r="G40" s="61"/>
      <c r="H40" s="61"/>
      <c r="I40" s="61"/>
      <c r="J40" s="5"/>
    </row>
    <row r="41" spans="1:13" ht="15" customHeight="1" x14ac:dyDescent="0.35">
      <c r="A41" s="12"/>
    </row>
    <row r="42" spans="1:13" ht="17.25" x14ac:dyDescent="0.35">
      <c r="A42" s="30"/>
      <c r="B42" s="68" t="s">
        <v>21</v>
      </c>
      <c r="C42" s="68"/>
      <c r="D42" s="69" t="s">
        <v>22</v>
      </c>
      <c r="E42" s="68" t="s">
        <v>23</v>
      </c>
      <c r="F42" s="68"/>
      <c r="G42" s="68"/>
      <c r="H42" s="68" t="s">
        <v>22</v>
      </c>
      <c r="I42" s="68"/>
    </row>
    <row r="43" spans="1:13" ht="21.75" customHeight="1" x14ac:dyDescent="0.2"/>
    <row r="44" spans="1:13" ht="16.5" x14ac:dyDescent="0.35">
      <c r="A44" s="31"/>
    </row>
    <row r="45" spans="1:13" ht="16.5" x14ac:dyDescent="0.35">
      <c r="A45" s="8"/>
      <c r="B45" s="8"/>
      <c r="C45" s="8"/>
      <c r="D45" s="8"/>
      <c r="E45" s="8"/>
      <c r="F45" s="8"/>
      <c r="G45" s="8"/>
      <c r="H45" s="8"/>
    </row>
  </sheetData>
  <mergeCells count="50">
    <mergeCell ref="B6:C6"/>
    <mergeCell ref="A36:E36"/>
    <mergeCell ref="B10:D10"/>
    <mergeCell ref="B5:D5"/>
    <mergeCell ref="H14:I14"/>
    <mergeCell ref="H15:I15"/>
    <mergeCell ref="H16:I16"/>
    <mergeCell ref="H17:I17"/>
    <mergeCell ref="H29:I29"/>
    <mergeCell ref="H28:I28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30:I30"/>
    <mergeCell ref="H32:I32"/>
    <mergeCell ref="H33:I33"/>
    <mergeCell ref="H34:I34"/>
    <mergeCell ref="H35:I35"/>
    <mergeCell ref="H36:I36"/>
    <mergeCell ref="H37:I37"/>
    <mergeCell ref="H38:I38"/>
    <mergeCell ref="E42:G42"/>
    <mergeCell ref="H42:I42"/>
    <mergeCell ref="B42:C42"/>
    <mergeCell ref="A1:D1"/>
    <mergeCell ref="A3:B3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32:E32"/>
    <mergeCell ref="A26:D26"/>
    <mergeCell ref="A27:D27"/>
    <mergeCell ref="A28:D28"/>
    <mergeCell ref="A29:D29"/>
    <mergeCell ref="A30:D30"/>
  </mergeCells>
  <printOptions horizont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Quotation Template</dc:title>
  <dc:creator>Vertex42.com</dc:creator>
  <dc:description>(c) 2017 Vertex42 LLC. All Rights Reserved.</dc:description>
  <cp:lastModifiedBy>rattapong norkaew</cp:lastModifiedBy>
  <cp:lastPrinted>2017-02-01T21:23:24Z</cp:lastPrinted>
  <dcterms:created xsi:type="dcterms:W3CDTF">2004-08-16T18:44:14Z</dcterms:created>
  <dcterms:modified xsi:type="dcterms:W3CDTF">2025-01-07T09:45:57Z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https://www.vertex42.com/ExcelTemplates/quote-template.html</vt:lpwstr>
  </property>
</Properties>
</file>